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car\Desktop\"/>
    </mc:Choice>
  </mc:AlternateContent>
  <xr:revisionPtr revIDLastSave="0" documentId="8_{B9AFAE76-8A94-44B4-94C7-372B161A72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usqueda Binaria" sheetId="1" r:id="rId1"/>
    <sheet name="MergeS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D14" i="2"/>
  <c r="D13" i="2"/>
  <c r="D12" i="2"/>
  <c r="D11" i="2"/>
  <c r="D10" i="2"/>
  <c r="D9" i="2"/>
  <c r="D8" i="2"/>
  <c r="D7" i="2"/>
  <c r="D6" i="2"/>
  <c r="D5" i="2"/>
  <c r="D4" i="2"/>
  <c r="D3" i="2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<sst xmlns="http://schemas.openxmlformats.org/spreadsheetml/2006/main" count="10" uniqueCount="8">
  <si>
    <t>Benchmark - Búsqueda Binaria O(log n)</t>
  </si>
  <si>
    <t>n</t>
  </si>
  <si>
    <t>Tiempo (ms)</t>
  </si>
  <si>
    <t>Comparaciones</t>
  </si>
  <si>
    <t xml:space="preserve">n·log2(n) </t>
  </si>
  <si>
    <t>Benchmark  MergeSort O(n log n)</t>
  </si>
  <si>
    <t xml:space="preserve">log2(n) </t>
  </si>
  <si>
    <t>Tiempo(ns)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</si>
</sst>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name val="Carlito"/>
    </font>
    <font>
      <b/>
      <sz val="14"/>
      <color rgb="FFFFFFFF"/>
      <name val="Carlito"/>
    </font>
    <font>
      <b/>
      <sz val="11"/>
      <color theme="1" tint="4.9989318521683403E-2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0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 style="thin">
        <color rgb="FF808080"/>
      </bottom>
      <diagonal/>
    </border>
    <border>
      <left/>
      <right/>
      <top style="thin">
        <color rgb="FFD0D0D0"/>
      </top>
      <bottom style="thin">
        <color rgb="FF808080"/>
      </bottom>
      <diagonal/>
    </border>
    <border>
      <left/>
      <right style="thin">
        <color rgb="FFD0D0D0"/>
      </right>
      <top style="thin">
        <color rgb="FFD0D0D0"/>
      </top>
      <bottom style="thin">
        <color rgb="FF808080"/>
      </bottom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0" fillId="0" borderId="4" xfId="0" applyNumberFormat="1" applyBorder="1"/>
    <xf numFmtId="1" fontId="0" fillId="0" borderId="6" xfId="0" applyNumberFormat="1" applyBorder="1"/>
    <xf numFmtId="164" fontId="0" fillId="0" borderId="0" xfId="0" applyNumberFormat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" fontId="0" fillId="0" borderId="9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theme="1" tint="4.9989318521683403E-2"/>
        <name val="Carlito"/>
        <scheme val="none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rlito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3314893255530558"/>
          <c:y val="3.0771950346561446E-2"/>
          <c:w val="0.84638975792088489"/>
          <c:h val="0.77761339630218063"/>
        </c:manualLayout>
      </c:layout>
      <c:lineChart>
        <c:grouping val="standard"/>
        <c:varyColors val="1"/>
        <c:ser>
          <c:idx val="0"/>
          <c:order val="0"/>
          <c:tx>
            <c:v>Comparaciones empíricas</c:v>
          </c:tx>
          <c:marker>
            <c:symbol val="none"/>
          </c:marker>
          <c:cat>
            <c:numRef>
              <c:f>'Busqueda Binaria'!$A$3:$A$13</c:f>
              <c:numCache>
                <c:formatCode>0</c:formatCode>
                <c:ptCount val="11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</c:numCache>
            </c:numRef>
          </c:cat>
          <c:val>
            <c:numRef>
              <c:f>'Busqueda Binaria'!$C$3:$C$13</c:f>
              <c:numCache>
                <c:formatCode>0.000</c:formatCode>
                <c:ptCount val="11"/>
                <c:pt idx="0">
                  <c:v>9.9062099999999997</c:v>
                </c:pt>
                <c:pt idx="1">
                  <c:v>10.9039</c:v>
                </c:pt>
                <c:pt idx="2">
                  <c:v>11.897399999999999</c:v>
                </c:pt>
                <c:pt idx="3">
                  <c:v>12.902900000000001</c:v>
                </c:pt>
                <c:pt idx="4">
                  <c:v>13.9026</c:v>
                </c:pt>
                <c:pt idx="5">
                  <c:v>14.9002</c:v>
                </c:pt>
                <c:pt idx="6">
                  <c:v>15.8992</c:v>
                </c:pt>
                <c:pt idx="7">
                  <c:v>16.8993</c:v>
                </c:pt>
                <c:pt idx="8">
                  <c:v>17.9026</c:v>
                </c:pt>
                <c:pt idx="9">
                  <c:v>18.900200000000002</c:v>
                </c:pt>
                <c:pt idx="10">
                  <c:v>19.901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EB5-48C7-9B10-833C70E56988}"/>
            </c:ext>
          </c:extLst>
        </c:ser>
        <c:ser>
          <c:idx val="1"/>
          <c:order val="1"/>
          <c:tx>
            <c:v>Teórico normalizado</c:v>
          </c:tx>
          <c:marker>
            <c:symbol val="none"/>
          </c:marker>
          <c:cat>
            <c:numRef>
              <c:f>'Busqueda Binaria'!$A$3:$A$13</c:f>
              <c:numCache>
                <c:formatCode>0</c:formatCode>
                <c:ptCount val="11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</c:numCache>
            </c:numRef>
          </c:cat>
          <c:val>
            <c:numRef>
              <c:f>'Busqueda Binaria'!$D$3:$D$13</c:f>
              <c:numCache>
                <c:formatCode>0.000</c:formatCode>
                <c:ptCount val="11"/>
                <c:pt idx="0">
                  <c:v>9.9062099999999997</c:v>
                </c:pt>
                <c:pt idx="1">
                  <c:v>10.896831000000001</c:v>
                </c:pt>
                <c:pt idx="2">
                  <c:v>11.887452</c:v>
                </c:pt>
                <c:pt idx="3">
                  <c:v>12.878073000000001</c:v>
                </c:pt>
                <c:pt idx="4">
                  <c:v>13.868694</c:v>
                </c:pt>
                <c:pt idx="5">
                  <c:v>14.859315</c:v>
                </c:pt>
                <c:pt idx="6">
                  <c:v>15.849936</c:v>
                </c:pt>
                <c:pt idx="7">
                  <c:v>16.840556999999997</c:v>
                </c:pt>
                <c:pt idx="8">
                  <c:v>17.831178000000001</c:v>
                </c:pt>
                <c:pt idx="9">
                  <c:v>18.821798999999999</c:v>
                </c:pt>
                <c:pt idx="10">
                  <c:v>19.812419999999999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EB5-48C7-9B10-833C70E56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R"/>
                  <a:t>Tamaño del arreglo (n)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R"/>
                  <a:t>Comparaciones</a:t>
                </a:r>
              </a:p>
            </c:rich>
          </c:tx>
          <c:overlay val="1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6213608578532945"/>
          <c:y val="3.0840332458442695E-2"/>
          <c:w val="0.81776157503338409"/>
          <c:h val="0.7282777777777778"/>
        </c:manualLayout>
      </c:layout>
      <c:lineChart>
        <c:grouping val="standard"/>
        <c:varyColors val="1"/>
        <c:ser>
          <c:idx val="0"/>
          <c:order val="0"/>
          <c:tx>
            <c:v>Tiempo medido</c:v>
          </c:tx>
          <c:marker>
            <c:symbol val="none"/>
          </c:marker>
          <c:cat>
            <c:numRef>
              <c:f>'Busqueda Binaria'!$A$3:$A$13</c:f>
              <c:numCache>
                <c:formatCode>0</c:formatCode>
                <c:ptCount val="11"/>
                <c:pt idx="0">
                  <c:v>1024</c:v>
                </c:pt>
                <c:pt idx="1">
                  <c:v>2048</c:v>
                </c:pt>
                <c:pt idx="2">
                  <c:v>4096</c:v>
                </c:pt>
                <c:pt idx="3">
                  <c:v>8192</c:v>
                </c:pt>
                <c:pt idx="4">
                  <c:v>16384</c:v>
                </c:pt>
                <c:pt idx="5">
                  <c:v>32768</c:v>
                </c:pt>
                <c:pt idx="6">
                  <c:v>65536</c:v>
                </c:pt>
                <c:pt idx="7">
                  <c:v>131072</c:v>
                </c:pt>
                <c:pt idx="8">
                  <c:v>262144</c:v>
                </c:pt>
                <c:pt idx="9">
                  <c:v>524288</c:v>
                </c:pt>
                <c:pt idx="10">
                  <c:v>1048576</c:v>
                </c:pt>
              </c:numCache>
            </c:numRef>
          </c:cat>
          <c:val>
            <c:numRef>
              <c:f>'Busqueda Binaria'!$B$3:$B$13</c:f>
              <c:numCache>
                <c:formatCode>0.000</c:formatCode>
                <c:ptCount val="11"/>
                <c:pt idx="0">
                  <c:v>148.95699999999999</c:v>
                </c:pt>
                <c:pt idx="1">
                  <c:v>163.304</c:v>
                </c:pt>
                <c:pt idx="2">
                  <c:v>177.77699999999999</c:v>
                </c:pt>
                <c:pt idx="3">
                  <c:v>201.96</c:v>
                </c:pt>
                <c:pt idx="4">
                  <c:v>207.75800000000001</c:v>
                </c:pt>
                <c:pt idx="5">
                  <c:v>224.64400000000001</c:v>
                </c:pt>
                <c:pt idx="6">
                  <c:v>238.57900000000001</c:v>
                </c:pt>
                <c:pt idx="7">
                  <c:v>254.542</c:v>
                </c:pt>
                <c:pt idx="8">
                  <c:v>290.54500000000002</c:v>
                </c:pt>
                <c:pt idx="9">
                  <c:v>327.77499999999998</c:v>
                </c:pt>
                <c:pt idx="10">
                  <c:v>338.75900000000001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11-4675-BFF4-013FB8CAC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R"/>
                  <a:t>Tamaño del arreglo (n)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R"/>
                  <a:t>Tiempo (ns)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816291195283781"/>
          <c:y val="3.3687122742427376E-2"/>
          <c:w val="0.79754421231811701"/>
          <c:h val="0.73648440113306657"/>
        </c:manualLayout>
      </c:layout>
      <c:lineChart>
        <c:grouping val="standard"/>
        <c:varyColors val="1"/>
        <c:ser>
          <c:idx val="0"/>
          <c:order val="0"/>
          <c:tx>
            <c:v>Comparaciones empíricas</c:v>
          </c:tx>
          <c:marker>
            <c:symbol val="none"/>
          </c:marker>
          <c:cat>
            <c:numRef>
              <c:f>MergeSort!$A$3:$A$9</c:f>
              <c:numCache>
                <c:formatCode>0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60000</c:v>
                </c:pt>
              </c:numCache>
            </c:numRef>
          </c:cat>
          <c:val>
            <c:numRef>
              <c:f>MergeSort!$C$3:$C$9</c:f>
              <c:numCache>
                <c:formatCode>0.000</c:formatCode>
                <c:ptCount val="7"/>
                <c:pt idx="0">
                  <c:v>8694</c:v>
                </c:pt>
                <c:pt idx="1">
                  <c:v>19419.2</c:v>
                </c:pt>
                <c:pt idx="2">
                  <c:v>55225.8</c:v>
                </c:pt>
                <c:pt idx="3">
                  <c:v>120470</c:v>
                </c:pt>
                <c:pt idx="4">
                  <c:v>260947</c:v>
                </c:pt>
                <c:pt idx="5">
                  <c:v>561767</c:v>
                </c:pt>
                <c:pt idx="6">
                  <c:v>877252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E1B-4EA7-9717-93025DA2EAFB}"/>
            </c:ext>
          </c:extLst>
        </c:ser>
        <c:ser>
          <c:idx val="1"/>
          <c:order val="1"/>
          <c:tx>
            <c:v>Teórico normalizado</c:v>
          </c:tx>
          <c:marker>
            <c:symbol val="none"/>
          </c:marker>
          <c:cat>
            <c:numRef>
              <c:f>MergeSort!$A$3:$A$9</c:f>
              <c:numCache>
                <c:formatCode>0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60000</c:v>
                </c:pt>
              </c:numCache>
            </c:numRef>
          </c:cat>
          <c:val>
            <c:numRef>
              <c:f>MergeSort!$D$3:$D$9</c:f>
              <c:numCache>
                <c:formatCode>0.000</c:formatCode>
                <c:ptCount val="7"/>
                <c:pt idx="0">
                  <c:v>8694</c:v>
                </c:pt>
                <c:pt idx="1">
                  <c:v>19132.769854868435</c:v>
                </c:pt>
                <c:pt idx="2">
                  <c:v>53598.075362828917</c:v>
                </c:pt>
                <c:pt idx="3">
                  <c:v>115920</c:v>
                </c:pt>
                <c:pt idx="4">
                  <c:v>249287.69854868433</c:v>
                </c:pt>
                <c:pt idx="5">
                  <c:v>533470.79419473733</c:v>
                </c:pt>
                <c:pt idx="6">
                  <c:v>830824.93941670808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E1B-4EA7-9717-93025DA2E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R"/>
                  <a:t>Tamaño del arreglo (n)</a:t>
                </a:r>
              </a:p>
            </c:rich>
          </c:tx>
          <c:layout>
            <c:manualLayout>
              <c:xMode val="edge"/>
              <c:yMode val="edge"/>
              <c:x val="0.34081880858339003"/>
              <c:y val="0.92783818942645513"/>
            </c:manualLayout>
          </c:layout>
          <c:overlay val="1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R"/>
                  <a:t>Comparaciones</a:t>
                </a:r>
              </a:p>
            </c:rich>
          </c:tx>
          <c:layout>
            <c:manualLayout>
              <c:xMode val="edge"/>
              <c:yMode val="edge"/>
              <c:x val="0"/>
              <c:y val="0.24195444657740103"/>
            </c:manualLayout>
          </c:layout>
          <c:overlay val="1"/>
        </c:title>
        <c:numFmt formatCode="0.0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5302341474059337"/>
          <c:y val="0.85831311323490944"/>
          <c:w val="0.53543306499679622"/>
          <c:h val="5.4866943725384559E-2"/>
        </c:manualLayout>
      </c:layout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2025108840616314"/>
          <c:y val="2.7893802480653648E-2"/>
          <c:w val="0.77902576133583212"/>
          <c:h val="0.73948013552915992"/>
        </c:manualLayout>
      </c:layout>
      <c:lineChart>
        <c:grouping val="standard"/>
        <c:varyColors val="1"/>
        <c:ser>
          <c:idx val="0"/>
          <c:order val="0"/>
          <c:tx>
            <c:v>Tiempo medido</c:v>
          </c:tx>
          <c:marker>
            <c:symbol val="none"/>
          </c:marker>
          <c:cat>
            <c:numRef>
              <c:f>MergeSort!$A$3:$A$9</c:f>
              <c:numCache>
                <c:formatCode>0</c:formatCode>
                <c:ptCount val="7"/>
                <c:pt idx="0">
                  <c:v>1000</c:v>
                </c:pt>
                <c:pt idx="1">
                  <c:v>2000</c:v>
                </c:pt>
                <c:pt idx="2">
                  <c:v>5000</c:v>
                </c:pt>
                <c:pt idx="3">
                  <c:v>10000</c:v>
                </c:pt>
                <c:pt idx="4">
                  <c:v>20000</c:v>
                </c:pt>
                <c:pt idx="5">
                  <c:v>40000</c:v>
                </c:pt>
                <c:pt idx="6">
                  <c:v>60000</c:v>
                </c:pt>
              </c:numCache>
            </c:numRef>
          </c:cat>
          <c:val>
            <c:numRef>
              <c:f>MergeSort!$B$3:$B$9</c:f>
              <c:numCache>
                <c:formatCode>0.000</c:formatCode>
                <c:ptCount val="7"/>
                <c:pt idx="0">
                  <c:v>0.47708</c:v>
                </c:pt>
                <c:pt idx="1">
                  <c:v>0.97797999999999996</c:v>
                </c:pt>
                <c:pt idx="2">
                  <c:v>2.6311599999999999</c:v>
                </c:pt>
                <c:pt idx="3">
                  <c:v>5.8201599999999996</c:v>
                </c:pt>
                <c:pt idx="4">
                  <c:v>12.144500000000001</c:v>
                </c:pt>
                <c:pt idx="5">
                  <c:v>25.084299999999999</c:v>
                </c:pt>
                <c:pt idx="6">
                  <c:v>36.802500000000002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184-49EB-9BF9-903C6AB29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R"/>
                  <a:t>Tamaño del arreglo (n)</a:t>
                </a:r>
              </a:p>
            </c:rich>
          </c:tx>
          <c:layout>
            <c:manualLayout>
              <c:xMode val="edge"/>
              <c:yMode val="edge"/>
              <c:x val="0.37794949446489245"/>
              <c:y val="0.91886211162751219"/>
            </c:manualLayout>
          </c:layout>
          <c:overlay val="1"/>
        </c:title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R"/>
                  <a:t>Tiempo (ms)</a:t>
                </a:r>
              </a:p>
            </c:rich>
          </c:tx>
          <c:layout>
            <c:manualLayout>
              <c:xMode val="edge"/>
              <c:yMode val="edge"/>
              <c:x val="6.0929070188369829E-2"/>
              <c:y val="0.2801198348235534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287893920692693"/>
          <c:y val="0.853707342984932"/>
          <c:w val="0.66516409058594916"/>
          <c:h val="4.3054555680539931E-2"/>
        </c:manualLayout>
      </c:layout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121920</xdr:colOff>
      <xdr:row>27</xdr:row>
      <xdr:rowOff>91440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652585</xdr:colOff>
      <xdr:row>1</xdr:row>
      <xdr:rowOff>53926</xdr:rowOff>
    </xdr:from>
    <xdr:to>
      <xdr:col>26</xdr:col>
      <xdr:colOff>228209</xdr:colOff>
      <xdr:row>27</xdr:row>
      <xdr:rowOff>135206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343437</xdr:colOff>
      <xdr:row>0</xdr:row>
      <xdr:rowOff>257576</xdr:rowOff>
    </xdr:from>
    <xdr:to>
      <xdr:col>15</xdr:col>
      <xdr:colOff>53661</xdr:colOff>
      <xdr:row>29</xdr:row>
      <xdr:rowOff>139521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21465</xdr:colOff>
      <xdr:row>1</xdr:row>
      <xdr:rowOff>118056</xdr:rowOff>
    </xdr:from>
    <xdr:to>
      <xdr:col>26</xdr:col>
      <xdr:colOff>611747</xdr:colOff>
      <xdr:row>34</xdr:row>
      <xdr:rowOff>85858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BusquedaBinaria" displayName="TablaBusquedaBinaria" ref="A2:D16" totalsRowShown="0" headerRowDxfId="0">
  <tableColumns count="4">
    <tableColumn id="1" xr3:uid="{00000000-0010-0000-0000-000001000000}" name="n"/>
    <tableColumn id="2" xr3:uid="{00000000-0010-0000-0000-000002000000}" name="Tiempo(ns)"/>
    <tableColumn id="3" xr3:uid="{00000000-0010-0000-0000-000003000000}" name="Comparaciones"/>
    <tableColumn id="4" xr3:uid="{00000000-0010-0000-0000-000004000000}" name="log2(n)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MergeSort" displayName="TablaMergeSort" ref="A2:D15" totalsRowShown="0" headerRowDxfId="5" headerRowBorderDxfId="6">
  <tableColumns count="4">
    <tableColumn id="1" xr3:uid="{00000000-0010-0000-0100-000001000000}" name="n" dataDxfId="4"/>
    <tableColumn id="2" xr3:uid="{00000000-0010-0000-0100-000002000000}" name="Tiempo (ms)" dataDxfId="3"/>
    <tableColumn id="3" xr3:uid="{00000000-0010-0000-0100-000003000000}" name="Comparaciones" dataDxfId="2"/>
    <tableColumn id="4" xr3:uid="{00000000-0010-0000-0100-000004000000}" name="n·log2(n)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="65" workbookViewId="0">
      <selection activeCell="Q33" sqref="Q33"/>
    </sheetView>
  </sheetViews>
  <sheetFormatPr baseColWidth="10" defaultColWidth="8.796875" defaultRowHeight="13.8"/>
  <cols>
    <col min="1" max="1" width="13" customWidth="1"/>
    <col min="2" max="3" width="18" customWidth="1"/>
    <col min="4" max="4" width="23.09765625" customWidth="1"/>
  </cols>
  <sheetData>
    <row r="1" spans="1:4" ht="20.85" customHeight="1">
      <c r="A1" s="7" t="s">
        <v>0</v>
      </c>
      <c r="B1" s="7"/>
      <c r="C1" s="7"/>
      <c r="D1" s="7"/>
    </row>
    <row r="2" spans="1:4">
      <c r="A2" s="8" t="s">
        <v>1</v>
      </c>
      <c r="B2" s="9" t="s">
        <v>7</v>
      </c>
      <c r="C2" s="9" t="s">
        <v>3</v>
      </c>
      <c r="D2" s="10" t="s">
        <v>6</v>
      </c>
    </row>
    <row r="3" spans="1:4">
      <c r="A3" s="1">
        <v>1024</v>
      </c>
      <c r="B3" s="3">
        <v>148.95699999999999</v>
      </c>
      <c r="C3" s="3">
        <v>9.9062099999999997</v>
      </c>
      <c r="D3" s="4">
        <f t="shared" ref="D3:D16" si="0">$C$3*LOG(A3,2)/LOG($A$3,2)</f>
        <v>9.9062099999999997</v>
      </c>
    </row>
    <row r="4" spans="1:4">
      <c r="A4" s="1">
        <v>2048</v>
      </c>
      <c r="B4" s="3">
        <v>163.304</v>
      </c>
      <c r="C4" s="3">
        <v>10.9039</v>
      </c>
      <c r="D4" s="4">
        <f t="shared" si="0"/>
        <v>10.896831000000001</v>
      </c>
    </row>
    <row r="5" spans="1:4">
      <c r="A5" s="1">
        <v>4096</v>
      </c>
      <c r="B5" s="3">
        <v>177.77699999999999</v>
      </c>
      <c r="C5" s="3">
        <v>11.897399999999999</v>
      </c>
      <c r="D5" s="4">
        <f t="shared" si="0"/>
        <v>11.887452</v>
      </c>
    </row>
    <row r="6" spans="1:4">
      <c r="A6" s="1">
        <v>8192</v>
      </c>
      <c r="B6" s="3">
        <v>201.96</v>
      </c>
      <c r="C6" s="3">
        <v>12.902900000000001</v>
      </c>
      <c r="D6" s="4">
        <f t="shared" si="0"/>
        <v>12.878073000000001</v>
      </c>
    </row>
    <row r="7" spans="1:4">
      <c r="A7" s="1">
        <v>16384</v>
      </c>
      <c r="B7" s="3">
        <v>207.75800000000001</v>
      </c>
      <c r="C7" s="3">
        <v>13.9026</v>
      </c>
      <c r="D7" s="4">
        <f t="shared" si="0"/>
        <v>13.868694</v>
      </c>
    </row>
    <row r="8" spans="1:4">
      <c r="A8" s="1">
        <v>32768</v>
      </c>
      <c r="B8" s="3">
        <v>224.64400000000001</v>
      </c>
      <c r="C8" s="3">
        <v>14.9002</v>
      </c>
      <c r="D8" s="4">
        <f t="shared" si="0"/>
        <v>14.859315</v>
      </c>
    </row>
    <row r="9" spans="1:4">
      <c r="A9" s="1">
        <v>65536</v>
      </c>
      <c r="B9" s="3">
        <v>238.57900000000001</v>
      </c>
      <c r="C9" s="3">
        <v>15.8992</v>
      </c>
      <c r="D9" s="4">
        <f t="shared" si="0"/>
        <v>15.849936</v>
      </c>
    </row>
    <row r="10" spans="1:4">
      <c r="A10" s="1">
        <v>131072</v>
      </c>
      <c r="B10" s="3">
        <v>254.542</v>
      </c>
      <c r="C10" s="3">
        <v>16.8993</v>
      </c>
      <c r="D10" s="4">
        <f t="shared" si="0"/>
        <v>16.840556999999997</v>
      </c>
    </row>
    <row r="11" spans="1:4">
      <c r="A11" s="1">
        <v>262144</v>
      </c>
      <c r="B11" s="3">
        <v>290.54500000000002</v>
      </c>
      <c r="C11" s="3">
        <v>17.9026</v>
      </c>
      <c r="D11" s="4">
        <f t="shared" si="0"/>
        <v>17.831178000000001</v>
      </c>
    </row>
    <row r="12" spans="1:4">
      <c r="A12" s="1">
        <v>524288</v>
      </c>
      <c r="B12" s="3">
        <v>327.77499999999998</v>
      </c>
      <c r="C12" s="3">
        <v>18.900200000000002</v>
      </c>
      <c r="D12" s="4">
        <f t="shared" si="0"/>
        <v>18.821798999999999</v>
      </c>
    </row>
    <row r="13" spans="1:4">
      <c r="A13" s="1">
        <v>1048576</v>
      </c>
      <c r="B13" s="3">
        <v>338.75900000000001</v>
      </c>
      <c r="C13" s="3">
        <v>19.901</v>
      </c>
      <c r="D13" s="4">
        <f t="shared" si="0"/>
        <v>19.812419999999999</v>
      </c>
    </row>
    <row r="14" spans="1:4">
      <c r="A14" s="1">
        <v>2097152</v>
      </c>
      <c r="B14" s="3">
        <v>442.37400000000002</v>
      </c>
      <c r="C14" s="3">
        <v>20.901399999999999</v>
      </c>
      <c r="D14" s="4">
        <f t="shared" si="0"/>
        <v>20.803041</v>
      </c>
    </row>
    <row r="15" spans="1:4">
      <c r="A15" s="1">
        <v>4194304</v>
      </c>
      <c r="B15" s="3">
        <v>512.29100000000005</v>
      </c>
      <c r="C15" s="3">
        <v>21.9009</v>
      </c>
      <c r="D15" s="4">
        <f t="shared" si="0"/>
        <v>21.793662000000001</v>
      </c>
    </row>
    <row r="16" spans="1:4">
      <c r="A16" s="2">
        <v>8388608</v>
      </c>
      <c r="B16" s="5">
        <v>974.34500000000003</v>
      </c>
      <c r="C16" s="5">
        <v>22.898399999999999</v>
      </c>
      <c r="D16" s="6">
        <f t="shared" si="0"/>
        <v>22.784282999999999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zoomScale="61" workbookViewId="0">
      <selection activeCell="D32" sqref="D32"/>
    </sheetView>
  </sheetViews>
  <sheetFormatPr baseColWidth="10" defaultColWidth="8.796875" defaultRowHeight="13.8"/>
  <cols>
    <col min="1" max="1" width="13" customWidth="1"/>
    <col min="2" max="3" width="18" customWidth="1"/>
    <col min="4" max="4" width="25.69921875" customWidth="1"/>
  </cols>
  <sheetData>
    <row r="1" spans="1:4" ht="20.85" customHeight="1">
      <c r="A1" s="7" t="s">
        <v>5</v>
      </c>
      <c r="B1" s="7"/>
      <c r="C1" s="7"/>
      <c r="D1" s="7"/>
    </row>
    <row r="2" spans="1:4">
      <c r="A2" s="11" t="s">
        <v>1</v>
      </c>
      <c r="B2" s="11" t="s">
        <v>2</v>
      </c>
      <c r="C2" s="11" t="s">
        <v>3</v>
      </c>
      <c r="D2" s="11" t="s">
        <v>4</v>
      </c>
    </row>
    <row r="3" spans="1:4">
      <c r="A3" s="12">
        <v>1000</v>
      </c>
      <c r="B3" s="13">
        <v>0.47708</v>
      </c>
      <c r="C3" s="13">
        <v>8694</v>
      </c>
      <c r="D3" s="13">
        <f t="shared" ref="D3:D15" si="0">$C$3*(A3*LOG(A3,2))/($A$3*LOG($A$3,2))</f>
        <v>8694</v>
      </c>
    </row>
    <row r="4" spans="1:4">
      <c r="A4" s="12">
        <v>2000</v>
      </c>
      <c r="B4" s="13">
        <v>0.97797999999999996</v>
      </c>
      <c r="C4" s="13">
        <v>19419.2</v>
      </c>
      <c r="D4" s="13">
        <f t="shared" si="0"/>
        <v>19132.769854868435</v>
      </c>
    </row>
    <row r="5" spans="1:4">
      <c r="A5" s="12">
        <v>5000</v>
      </c>
      <c r="B5" s="13">
        <v>2.6311599999999999</v>
      </c>
      <c r="C5" s="13">
        <v>55225.8</v>
      </c>
      <c r="D5" s="13">
        <f t="shared" si="0"/>
        <v>53598.075362828917</v>
      </c>
    </row>
    <row r="6" spans="1:4">
      <c r="A6" s="12">
        <v>10000</v>
      </c>
      <c r="B6" s="13">
        <v>5.8201599999999996</v>
      </c>
      <c r="C6" s="13">
        <v>120470</v>
      </c>
      <c r="D6" s="13">
        <f t="shared" si="0"/>
        <v>115920</v>
      </c>
    </row>
    <row r="7" spans="1:4">
      <c r="A7" s="12">
        <v>20000</v>
      </c>
      <c r="B7" s="13">
        <v>12.144500000000001</v>
      </c>
      <c r="C7" s="13">
        <v>260947</v>
      </c>
      <c r="D7" s="13">
        <f t="shared" si="0"/>
        <v>249287.69854868433</v>
      </c>
    </row>
    <row r="8" spans="1:4">
      <c r="A8" s="12">
        <v>40000</v>
      </c>
      <c r="B8" s="13">
        <v>25.084299999999999</v>
      </c>
      <c r="C8" s="13">
        <v>561767</v>
      </c>
      <c r="D8" s="13">
        <f t="shared" si="0"/>
        <v>533470.79419473733</v>
      </c>
    </row>
    <row r="9" spans="1:4">
      <c r="A9" s="12">
        <v>60000</v>
      </c>
      <c r="B9" s="13">
        <v>36.802500000000002</v>
      </c>
      <c r="C9" s="13">
        <v>877252</v>
      </c>
      <c r="D9" s="13">
        <f t="shared" si="0"/>
        <v>830824.93941670808</v>
      </c>
    </row>
    <row r="10" spans="1:4">
      <c r="A10" s="12">
        <v>80000</v>
      </c>
      <c r="B10" s="13">
        <v>48.857599999999998</v>
      </c>
      <c r="C10" s="13">
        <v>1203550</v>
      </c>
      <c r="D10" s="13">
        <f t="shared" si="0"/>
        <v>1136732.3825842121</v>
      </c>
    </row>
    <row r="11" spans="1:4">
      <c r="A11" s="12">
        <v>100000</v>
      </c>
      <c r="B11" s="13">
        <v>61.411000000000001</v>
      </c>
      <c r="C11" s="13">
        <v>1536360</v>
      </c>
      <c r="D11" s="13">
        <f t="shared" si="0"/>
        <v>1449000</v>
      </c>
    </row>
    <row r="12" spans="1:4">
      <c r="A12" s="12">
        <v>150000</v>
      </c>
      <c r="B12" s="13">
        <v>94.340400000000002</v>
      </c>
      <c r="C12" s="13">
        <v>2392300</v>
      </c>
      <c r="D12" s="13">
        <f t="shared" si="0"/>
        <v>2250046.8703115047</v>
      </c>
    </row>
    <row r="13" spans="1:4">
      <c r="A13" s="12">
        <v>200000</v>
      </c>
      <c r="B13" s="13">
        <v>127.574</v>
      </c>
      <c r="C13" s="13">
        <v>3272640</v>
      </c>
      <c r="D13" s="13">
        <f t="shared" si="0"/>
        <v>3072476.9854868432</v>
      </c>
    </row>
    <row r="14" spans="1:4">
      <c r="A14" s="12">
        <v>300000</v>
      </c>
      <c r="B14" s="13">
        <v>195.89500000000001</v>
      </c>
      <c r="C14" s="13">
        <v>5084530</v>
      </c>
      <c r="D14" s="13">
        <f t="shared" si="0"/>
        <v>4761809.2188532744</v>
      </c>
    </row>
    <row r="15" spans="1:4">
      <c r="A15" s="12">
        <v>400000</v>
      </c>
      <c r="B15" s="13">
        <v>265.48899999999998</v>
      </c>
      <c r="C15" s="13">
        <v>6945360</v>
      </c>
      <c r="D15" s="13">
        <f t="shared" si="0"/>
        <v>6493907.9419473736</v>
      </c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Busqueda Binaria</vt:lpstr>
      <vt:lpstr>MergeSort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Bolaños</dc:creator>
  <cp:lastModifiedBy>JOSE RICARDO BOLAÑOS SANABRIA</cp:lastModifiedBy>
  <dcterms:created xsi:type="dcterms:W3CDTF">2026-09-30T02:17:02Z</dcterms:created>
  <dcterms:modified xsi:type="dcterms:W3CDTF">2026-09-30T02:17:03Z</dcterms:modified>
</cp:coreProperties>
</file>